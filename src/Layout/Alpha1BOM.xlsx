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rga\Downloads\"/>
    </mc:Choice>
  </mc:AlternateContent>
  <xr:revisionPtr revIDLastSave="0" documentId="13_ncr:1_{D792A508-8D52-469C-867F-74749B7F6A84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Manufacturing BOM" sheetId="1" r:id="rId1"/>
    <sheet name="Summary" sheetId="2" r:id="rId2"/>
    <sheet name="Change Log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<sst xmlns="http://schemas.openxmlformats.org/spreadsheetml/2006/main" count="475" uniqueCount="299">
  <si>
    <t>Line</t>
  </si>
  <si>
    <t>Category</t>
  </si>
  <si>
    <t>Designator</t>
  </si>
  <si>
    <t>Value / Name</t>
  </si>
  <si>
    <t>Footprint</t>
  </si>
  <si>
    <t>Qty/Board</t>
  </si>
  <si>
    <t>Boards</t>
  </si>
  <si>
    <t>Build Qty</t>
  </si>
  <si>
    <t>Manufacturer Part</t>
  </si>
  <si>
    <t>Manufacturer</t>
  </si>
  <si>
    <t>Supplier</t>
  </si>
  <si>
    <t>Supplier Part</t>
  </si>
  <si>
    <t>Unit Price</t>
  </si>
  <si>
    <t>Buzzer</t>
  </si>
  <si>
    <t>BUZZER1</t>
  </si>
  <si>
    <t>2700Hz</t>
  </si>
  <si>
    <t>BUZ-SMD_4P-L8.5-W8.5-P8.50-BR</t>
  </si>
  <si>
    <t>MLT-8530</t>
  </si>
  <si>
    <t>华能</t>
  </si>
  <si>
    <t>LCSC</t>
  </si>
  <si>
    <t>C94599</t>
  </si>
  <si>
    <t>Capacitor</t>
  </si>
  <si>
    <t>C1,C2,C21,C33</t>
  </si>
  <si>
    <t>10uF</t>
  </si>
  <si>
    <t>C0603</t>
  </si>
  <si>
    <t>CL10B106MQ8NRNC</t>
  </si>
  <si>
    <t>SAMSUNG(三星)</t>
  </si>
  <si>
    <t>C3039698</t>
  </si>
  <si>
    <t>C3,C16,C17,C25,C31,C32,C37,C38</t>
  </si>
  <si>
    <t>100nF</t>
  </si>
  <si>
    <t>CL10B104KB8NNNC</t>
  </si>
  <si>
    <t>C1591</t>
  </si>
  <si>
    <t>C4</t>
  </si>
  <si>
    <t>1uF</t>
  </si>
  <si>
    <t>CL10A105KO8NNNC</t>
  </si>
  <si>
    <t>C1592</t>
  </si>
  <si>
    <t>C5,C6,C7,C8,C9</t>
  </si>
  <si>
    <t>22uF</t>
  </si>
  <si>
    <t>C0805</t>
  </si>
  <si>
    <t>GRM21BR61E226ME44L</t>
  </si>
  <si>
    <t>muRata(村田)</t>
  </si>
  <si>
    <t>C86816</t>
  </si>
  <si>
    <t>C10,C11</t>
  </si>
  <si>
    <t>470nF</t>
  </si>
  <si>
    <t>CL10B474KA8NNNC</t>
  </si>
  <si>
    <t>C1623</t>
  </si>
  <si>
    <t>C12,C13</t>
  </si>
  <si>
    <t>GRM21BR61H106KE43L</t>
  </si>
  <si>
    <t>C440198</t>
  </si>
  <si>
    <t>C14,C15,C19,C24,C27,C29,C34,C35</t>
  </si>
  <si>
    <t>C0402</t>
  </si>
  <si>
    <t>CL05B104KO5NNNC</t>
  </si>
  <si>
    <t>C1525</t>
  </si>
  <si>
    <t>C18,C23</t>
  </si>
  <si>
    <t>GRM188R71C104KA01D</t>
  </si>
  <si>
    <t>C45000</t>
  </si>
  <si>
    <t>C20</t>
  </si>
  <si>
    <t>10nF</t>
  </si>
  <si>
    <t>C0402B103K500NT</t>
  </si>
  <si>
    <t>TORCH(火炬)</t>
  </si>
  <si>
    <t>C17702727</t>
  </si>
  <si>
    <t>C22,C30,C36</t>
  </si>
  <si>
    <t>CL05B105KQ5NQNC</t>
  </si>
  <si>
    <t>C307427</t>
  </si>
  <si>
    <t>C26,C28</t>
  </si>
  <si>
    <t>22pF</t>
  </si>
  <si>
    <t>CL05C220JB5NNNC</t>
  </si>
  <si>
    <t>C70464</t>
  </si>
  <si>
    <t>Connector</t>
  </si>
  <si>
    <t>CN1</t>
  </si>
  <si>
    <t>XT30PW-M</t>
  </si>
  <si>
    <t>CONN-TH_XT30PW-M</t>
  </si>
  <si>
    <t>XT30PW-M30.G.Y</t>
  </si>
  <si>
    <t>AMASS(艾迈斯)</t>
  </si>
  <si>
    <t>C431092</t>
  </si>
  <si>
    <t>Diode / Protection</t>
  </si>
  <si>
    <t>D1</t>
  </si>
  <si>
    <t>TVS / ESD</t>
  </si>
  <si>
    <t>SOD-523_L1.2-W0.8-LS1.6-BI</t>
  </si>
  <si>
    <t>LESD5D5.0CT1G(UMW)</t>
  </si>
  <si>
    <t>UMW(Youtai Semiconductor)</t>
  </si>
  <si>
    <t>C5199850</t>
  </si>
  <si>
    <t>Updated from new JLCPCB record; 5 V TVS/ESD, SOD-523.</t>
  </si>
  <si>
    <t>D2,D3</t>
  </si>
  <si>
    <t>SS54FL</t>
  </si>
  <si>
    <t>SMAF_L3.5-W2.6-LS4.7-RD</t>
  </si>
  <si>
    <t>SHIKUES(时科)</t>
  </si>
  <si>
    <t>C115939</t>
  </si>
  <si>
    <t>D4</t>
  </si>
  <si>
    <t>1N4148W</t>
  </si>
  <si>
    <t>SOD-123F_L2.7-W1.6-LS3.8-RD</t>
  </si>
  <si>
    <t>ST(先科)</t>
  </si>
  <si>
    <t>C81598</t>
  </si>
  <si>
    <t>Inductor / Antenna</t>
  </si>
  <si>
    <t>L1</t>
  </si>
  <si>
    <t>2.7uH</t>
  </si>
  <si>
    <t>IND-SMD_L7.5-W7.5_XAL7030</t>
  </si>
  <si>
    <t>XAL7030-272MEC</t>
  </si>
  <si>
    <t>Coilcraft(线艺)</t>
  </si>
  <si>
    <t>C5366402</t>
  </si>
  <si>
    <t>L2</t>
  </si>
  <si>
    <t>ANT3216A063R2400A</t>
  </si>
  <si>
    <t>ANT-SMD_3P-L3.1-W1.6</t>
  </si>
  <si>
    <t>YAGEO(国巨)</t>
  </si>
  <si>
    <t>C412135</t>
  </si>
  <si>
    <t>Inventory shortage in new JLCPCB record. Replace or confirm stock before assembly.</t>
  </si>
  <si>
    <t>L3</t>
  </si>
  <si>
    <t>2.4nH</t>
  </si>
  <si>
    <t>L0402</t>
  </si>
  <si>
    <t>LQW15AN2N4B00D</t>
  </si>
  <si>
    <t>C113113</t>
  </si>
  <si>
    <t>LED / Indicator</t>
  </si>
  <si>
    <t>LED1,LED2</t>
  </si>
  <si>
    <t>FC-2012HRK-620D</t>
  </si>
  <si>
    <t>LED0805-R-RD</t>
  </si>
  <si>
    <t>NCD0805R1</t>
  </si>
  <si>
    <t>国星光电</t>
  </si>
  <si>
    <t>C84256</t>
  </si>
  <si>
    <t>LED3,LED4,LED5</t>
  </si>
  <si>
    <t>Green LED</t>
  </si>
  <si>
    <t>LED0603-RD</t>
  </si>
  <si>
    <t>XL-1608UGC-04</t>
  </si>
  <si>
    <t>XINGLIGHT</t>
  </si>
  <si>
    <t>C965804</t>
  </si>
  <si>
    <t>Updated green LED selection from new JLCPCB record.</t>
  </si>
  <si>
    <t>P1,P2</t>
  </si>
  <si>
    <t>WJ127-5.0-2P</t>
  </si>
  <si>
    <t>CONN-TH_2P-P5.00_CPC3703CTR</t>
  </si>
  <si>
    <t>KANGNEX(康奈克斯电气)</t>
  </si>
  <si>
    <t>C3703</t>
  </si>
  <si>
    <t>Transistor / MOSFET</t>
  </si>
  <si>
    <t>Q1</t>
  </si>
  <si>
    <t>S8050-J3Y</t>
  </si>
  <si>
    <t>SOT-23-3_L3.0-W1.7-P0.95-LS2.9-BR</t>
  </si>
  <si>
    <t>S8050</t>
  </si>
  <si>
    <t>MDD(辰达半导体)</t>
  </si>
  <si>
    <t>C364312</t>
  </si>
  <si>
    <t>Q2</t>
  </si>
  <si>
    <t>SI7232DN-T1-GE3</t>
  </si>
  <si>
    <t>POWER-1212-8_L3.3-W3.3-P0.66-LS3.3-BL</t>
  </si>
  <si>
    <t>VISHAY(威世)</t>
  </si>
  <si>
    <t>C144854</t>
  </si>
  <si>
    <t>Resistor</t>
  </si>
  <si>
    <t>R1,R2,R10,R11</t>
  </si>
  <si>
    <t>10kΩ</t>
  </si>
  <si>
    <t>R0402</t>
  </si>
  <si>
    <t>RC0402FR-0710KL</t>
  </si>
  <si>
    <t>C60490</t>
  </si>
  <si>
    <t>R3</t>
  </si>
  <si>
    <t>100kΩ</t>
  </si>
  <si>
    <t>R0603</t>
  </si>
  <si>
    <t>RC0603FR-07100KL</t>
  </si>
  <si>
    <t>C14675</t>
  </si>
  <si>
    <t>R4,R5</t>
  </si>
  <si>
    <t>5.1kΩ</t>
  </si>
  <si>
    <t>R0805</t>
  </si>
  <si>
    <t>RMC08055.1K1%N</t>
  </si>
  <si>
    <t>Tyohm(幸亚电阻)</t>
  </si>
  <si>
    <t>C269748</t>
  </si>
  <si>
    <t>R6,R7,R18,R20</t>
  </si>
  <si>
    <t>RT0402BRD07100KL</t>
  </si>
  <si>
    <t>C852472</t>
  </si>
  <si>
    <t>R8,R9,R23,R25</t>
  </si>
  <si>
    <t>0402WGF1002TCE</t>
  </si>
  <si>
    <t>UNI-ROYAL(厚声)</t>
  </si>
  <si>
    <t>C25744</t>
  </si>
  <si>
    <t>R12,R13</t>
  </si>
  <si>
    <t>4.7kΩ</t>
  </si>
  <si>
    <t>ERJ6RBD4701V</t>
  </si>
  <si>
    <t>PANASONIC(松下)</t>
  </si>
  <si>
    <t>C336873</t>
  </si>
  <si>
    <t>R14</t>
  </si>
  <si>
    <t>1kΩ</t>
  </si>
  <si>
    <t>0603WAF1001T5E</t>
  </si>
  <si>
    <t>C21190</t>
  </si>
  <si>
    <t>R15,R16,R21</t>
  </si>
  <si>
    <t>100Ω</t>
  </si>
  <si>
    <t>RT0603BRD07100RL</t>
  </si>
  <si>
    <t>C122970</t>
  </si>
  <si>
    <t>R17,R19</t>
  </si>
  <si>
    <t>TC0325F1001T5E</t>
  </si>
  <si>
    <t>C128783</t>
  </si>
  <si>
    <t>R22,R24</t>
  </si>
  <si>
    <t>3.3kΩ</t>
  </si>
  <si>
    <t>0603WAF3301T5E</t>
  </si>
  <si>
    <t>C22978</t>
  </si>
  <si>
    <t>RF Connector</t>
  </si>
  <si>
    <t>RF1</t>
  </si>
  <si>
    <t>KH-SMA-K513-G</t>
  </si>
  <si>
    <t>ANT-TH_KH-SMA-K513-G</t>
  </si>
  <si>
    <t>kinghelm(金航标)</t>
  </si>
  <si>
    <t>C411575</t>
  </si>
  <si>
    <t>Switch</t>
  </si>
  <si>
    <t>SW1,SW2</t>
  </si>
  <si>
    <t>K2-1808SN-A4SW</t>
  </si>
  <si>
    <t>KEY-SMD_4P-L4.2-W3.2-P2.20-LS5.1-TL</t>
  </si>
  <si>
    <t>K2-1808SN-A4SW-01</t>
  </si>
  <si>
    <t>韩国韩荣</t>
  </si>
  <si>
    <t>C92589</t>
  </si>
  <si>
    <t>IC / Module / Sensor</t>
  </si>
  <si>
    <t>U1</t>
  </si>
  <si>
    <t>AP2114H-3.3TRG1</t>
  </si>
  <si>
    <t>SOT-223_L6.7-W3.5-P2.30-BR</t>
  </si>
  <si>
    <t>DIODES(美台)</t>
  </si>
  <si>
    <t>C150716</t>
  </si>
  <si>
    <t>U2</t>
  </si>
  <si>
    <t>LM61495Q5RPHRQ1</t>
  </si>
  <si>
    <t>VQFN-16_L4.5-W3.5-P0.50-TL_TI_RPH</t>
  </si>
  <si>
    <t>TI(德州仪器)</t>
  </si>
  <si>
    <t>C3188409</t>
  </si>
  <si>
    <t>U3</t>
  </si>
  <si>
    <t>TPD2E001DRYR</t>
  </si>
  <si>
    <t>SON-6_L1.5-W1.0-P0.50-BL</t>
  </si>
  <si>
    <t>C379992</t>
  </si>
  <si>
    <t>U4</t>
  </si>
  <si>
    <t>BMP390</t>
  </si>
  <si>
    <t>LGA-10_L2.0-W2.0-P0.50-BL</t>
  </si>
  <si>
    <t>BMP388</t>
  </si>
  <si>
    <t>Bosch</t>
  </si>
  <si>
    <t>C779278</t>
  </si>
  <si>
    <t>JLCPCB record shows BOM name BMP390 but selected MPN BMP388; verify exact sensor before order.</t>
  </si>
  <si>
    <t>U5</t>
  </si>
  <si>
    <t>ESP32-S3FH4R2</t>
  </si>
  <si>
    <t>QFN-56_L7.0-W7.0-P0.40-BL-EP5.7</t>
  </si>
  <si>
    <t>ESPRESSIF(乐鑫)</t>
  </si>
  <si>
    <t>C3013940</t>
  </si>
  <si>
    <t>U6</t>
  </si>
  <si>
    <t>AHT20</t>
  </si>
  <si>
    <t>DFN-6_L3.0-W3.0-P1.00-BL</t>
  </si>
  <si>
    <t>ASAIR</t>
  </si>
  <si>
    <t>C2757850</t>
  </si>
  <si>
    <t>Updated from new JLCPCB record; temp/humidity sensor.</t>
  </si>
  <si>
    <t>U7</t>
  </si>
  <si>
    <t>DL-RFM95-915M</t>
  </si>
  <si>
    <t>LCC-16_L16.0-W16.0-P2.00-TL</t>
  </si>
  <si>
    <t>DreamLNK(骏晔科技)</t>
  </si>
  <si>
    <t>C2844473</t>
  </si>
  <si>
    <t>U8</t>
  </si>
  <si>
    <t>W25Q64JVSSIQ</t>
  </si>
  <si>
    <t>SOP-8_L5.3-W5.3-P1.27-LS8.0-BL</t>
  </si>
  <si>
    <t>Winbond</t>
  </si>
  <si>
    <t>C179171</t>
  </si>
  <si>
    <t>Updated flash memory LCSC number from new JLCPCB record.</t>
  </si>
  <si>
    <t>U9</t>
  </si>
  <si>
    <t>SAM-M10Q-00B</t>
  </si>
  <si>
    <t>LCC-20_L15.5-W15.5-P1.90_SAM-M10Q-00B</t>
  </si>
  <si>
    <t>U-BLOX</t>
  </si>
  <si>
    <t>C5443880</t>
  </si>
  <si>
    <t>U10</t>
  </si>
  <si>
    <t>H3LIS331DLTR</t>
  </si>
  <si>
    <t>LGA-16_L3.0-W3.0-P0.50-BL</t>
  </si>
  <si>
    <t>ST(意法半导体)</t>
  </si>
  <si>
    <t>C2655074</t>
  </si>
  <si>
    <t>USB1</t>
  </si>
  <si>
    <t>HC-TYPE-C-16P-01A-G</t>
  </si>
  <si>
    <t>USB-C-SMD_G-SWITCH_GT-USB-7010EN</t>
  </si>
  <si>
    <t>HCTL(华灿天禄)</t>
  </si>
  <si>
    <t>C2997435</t>
  </si>
  <si>
    <t>Crystal / Oscillator</t>
  </si>
  <si>
    <t>X1</t>
  </si>
  <si>
    <t>40MHz</t>
  </si>
  <si>
    <t>CRYSTAL-SMD_4P-L2.0-W1.6-BL</t>
  </si>
  <si>
    <t>Q22FA12800332</t>
  </si>
  <si>
    <t>EPSON(爱普生)</t>
  </si>
  <si>
    <t>C255899</t>
  </si>
  <si>
    <t>Alpha 1 Flight Computer BOM</t>
  </si>
  <si>
    <t>Generated</t>
  </si>
  <si>
    <t>2026-05-13 05:20</t>
  </si>
  <si>
    <t>Build quantity</t>
  </si>
  <si>
    <t>Total unique BOM lines</t>
  </si>
  <si>
    <t>Total placed components</t>
  </si>
  <si>
    <t>Estimated parts cost</t>
  </si>
  <si>
    <t>Extended-part lines</t>
  </si>
  <si>
    <t>Basic-part lines</t>
  </si>
  <si>
    <t>Lines needing attention</t>
  </si>
  <si>
    <t>Line Count</t>
  </si>
  <si>
    <t>Est. Cost</t>
  </si>
  <si>
    <t>Old MPN</t>
  </si>
  <si>
    <t>New MPN</t>
  </si>
  <si>
    <t>Old LCSC</t>
  </si>
  <si>
    <t>New LCSC</t>
  </si>
  <si>
    <t>Reason / Note</t>
  </si>
  <si>
    <t>LESD5D5.0CT1G</t>
  </si>
  <si>
    <t>C383211</t>
  </si>
  <si>
    <t>19-217/GHC-YR1S2/3T</t>
  </si>
  <si>
    <t>C72043</t>
  </si>
  <si>
    <t>C5124834</t>
  </si>
  <si>
    <t>C503357</t>
  </si>
  <si>
    <t>C83140</t>
  </si>
  <si>
    <t>Source</t>
  </si>
  <si>
    <t>Details</t>
  </si>
  <si>
    <t>Original BOM</t>
  </si>
  <si>
    <t>Alpha1BOM.csv uploaded by user; UTF-16 tab-delimited EasyEDA/JLCPCB BOM export.</t>
  </si>
  <si>
    <t>New JLCPCB record</t>
  </si>
  <si>
    <t>Pasted record for Alpha 1_PCB_Alpha 1__20260513015424.zip; showed 48 parts detected, 47 confirmed, and 1 inventory shortage.</t>
  </si>
  <si>
    <t>Important order note</t>
  </si>
  <si>
    <t>L2 ANT3216A063R2400A was listed with 1 shortfall in the new JLCPCB record.</t>
  </si>
  <si>
    <t>Verification note</t>
  </si>
  <si>
    <t>U4 should be checked because the BOM display name says BMP390 while the pasted JLCPCB record lists the selected manufacturer part as BMP388.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</si>
</sst>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00"/>
    <numFmt numFmtId="165" formatCode="\$0.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libri"/>
      <family val="2"/>
      <scheme val="major"/>
    </font>
    <font>
      <sz val="11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3" borderId="0" xfId="0" applyFont="1" applyFill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wrapText="1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1" fontId="5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" fontId="5" fillId="0" borderId="0" xfId="0" applyNumberFormat="1" applyFont="1" applyAlignment="1">
      <alignment horizontal="center" vertical="top" wrapText="1"/>
    </xf>
    <xf numFmtId="164" fontId="5" fillId="0" borderId="0" xfId="0" applyNumberFormat="1" applyFont="1" applyAlignment="1">
      <alignment vertical="top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pha1BOMTable" displayName="Alpha1BOMTable" ref="A1:M49" headerRowDxfId="2" dataDxfId="0" totalsRowDxfId="1">
  <tableColumns count="13">
    <tableColumn id="1" xr3:uid="{00000000-0010-0000-0000-000001000000}" name="Line" dataDxfId="15"/>
    <tableColumn id="2" xr3:uid="{00000000-0010-0000-0000-000002000000}" name="Category" dataDxfId="14"/>
    <tableColumn id="3" xr3:uid="{00000000-0010-0000-0000-000003000000}" name="Designator" dataDxfId="13"/>
    <tableColumn id="4" xr3:uid="{00000000-0010-0000-0000-000004000000}" name="Value / Name" dataDxfId="12"/>
    <tableColumn id="5" xr3:uid="{00000000-0010-0000-0000-000005000000}" name="Footprint" dataDxfId="11"/>
    <tableColumn id="6" xr3:uid="{00000000-0010-0000-0000-000006000000}" name="Qty/Board" dataDxfId="10"/>
    <tableColumn id="7" xr3:uid="{00000000-0010-0000-0000-000007000000}" name="Boards" dataDxfId="9"/>
    <tableColumn id="8" xr3:uid="{00000000-0010-0000-0000-000008000000}" name="Build Qty" dataDxfId="8"/>
    <tableColumn id="9" xr3:uid="{00000000-0010-0000-0000-000009000000}" name="Manufacturer Part" dataDxfId="7"/>
    <tableColumn id="10" xr3:uid="{00000000-0010-0000-0000-00000A000000}" name="Manufacturer" dataDxfId="6"/>
    <tableColumn id="11" xr3:uid="{00000000-0010-0000-0000-00000B000000}" name="Supplier" dataDxfId="5"/>
    <tableColumn id="12" xr3:uid="{00000000-0010-0000-0000-00000C000000}" name="Supplier Part" dataDxfId="4"/>
    <tableColumn id="13" xr3:uid="{00000000-0010-0000-0000-00000D000000}" name="Unit Pric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Summary" displayName="CategorySummary" ref="A11:D23">
  <tableColumns count="4">
    <tableColumn id="1" xr3:uid="{00000000-0010-0000-0100-000001000000}" name="Category"/>
    <tableColumn id="2" xr3:uid="{00000000-0010-0000-0100-000002000000}" name="Line Count"/>
    <tableColumn id="3" xr3:uid="{00000000-0010-0000-0100-000003000000}" name="Build Qty"/>
    <tableColumn id="4" xr3:uid="{00000000-0010-0000-0100-000004000000}" name="Est. 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ngeLogTable" displayName="ChangeLogTable" ref="A1:F7">
  <tableColumns count="6">
    <tableColumn id="1" xr3:uid="{00000000-0010-0000-0200-000001000000}" name="Designator"/>
    <tableColumn id="2" xr3:uid="{00000000-0010-0000-0200-000002000000}" name="Old MPN"/>
    <tableColumn id="3" xr3:uid="{00000000-0010-0000-0200-000003000000}" name="New MPN"/>
    <tableColumn id="4" xr3:uid="{00000000-0010-0000-0200-000004000000}" name="Old LCSC"/>
    <tableColumn id="5" xr3:uid="{00000000-0010-0000-0200-000005000000}" name="New LCSC"/>
    <tableColumn id="6" xr3:uid="{00000000-0010-0000-0200-000006000000}" name="Reason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28" zoomScale="55" zoomScaleNormal="55" workbookViewId="0">
      <selection activeCell="Q12" sqref="Q12"/>
    </sheetView>
  </sheetViews>
  <sheetFormatPr defaultRowHeight="15"/>
  <cols>
    <col min="1" max="1" width="8" style="12" customWidth="1"/>
    <col min="2" max="2" width="18" style="12" customWidth="1"/>
    <col min="3" max="3" width="20" style="12" customWidth="1"/>
    <col min="4" max="4" width="24" style="12" customWidth="1"/>
    <col min="5" max="5" width="28" style="12" customWidth="1"/>
    <col min="6" max="6" width="10" style="12" customWidth="1"/>
    <col min="7" max="7" width="8" style="12" customWidth="1"/>
    <col min="8" max="8" width="10" style="12" customWidth="1"/>
    <col min="9" max="9" width="26" style="12" customWidth="1"/>
    <col min="10" max="10" width="24" style="12" customWidth="1"/>
    <col min="11" max="11" width="10" style="12" customWidth="1"/>
    <col min="12" max="12" width="13" style="12" customWidth="1"/>
    <col min="13" max="14" width="12" style="12" customWidth="1"/>
    <col min="15" max="15" width="14" style="12" customWidth="1"/>
    <col min="16" max="16" width="10" style="12" customWidth="1"/>
    <col min="17" max="17" width="44" style="12" customWidth="1"/>
    <col min="18" max="16384" width="9" style="12"/>
  </cols>
  <sheetData>
    <row r="1" spans="1:13" ht="33.950000000000003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>
      <c r="A2" s="13">
        <v>1</v>
      </c>
      <c r="B2" s="14" t="s">
        <v>13</v>
      </c>
      <c r="C2" s="14" t="s">
        <v>14</v>
      </c>
      <c r="D2" s="14" t="s">
        <v>15</v>
      </c>
      <c r="E2" s="14" t="s">
        <v>16</v>
      </c>
      <c r="F2" s="15">
        <v>1</v>
      </c>
      <c r="G2" s="15">
        <v>2</v>
      </c>
      <c r="H2" s="15">
        <v>2</v>
      </c>
      <c r="I2" s="14" t="s">
        <v>17</v>
      </c>
      <c r="J2" s="14" t="s">
        <v>18</v>
      </c>
      <c r="K2" s="14" t="s">
        <v>19</v>
      </c>
      <c r="L2" s="14" t="s">
        <v>20</v>
      </c>
      <c r="M2" s="16">
        <v>0.20399999999999999</v>
      </c>
    </row>
    <row r="3" spans="1:13">
      <c r="A3" s="13">
        <v>2</v>
      </c>
      <c r="B3" s="14" t="s">
        <v>21</v>
      </c>
      <c r="C3" s="14" t="s">
        <v>22</v>
      </c>
      <c r="D3" s="14" t="s">
        <v>23</v>
      </c>
      <c r="E3" s="14" t="s">
        <v>24</v>
      </c>
      <c r="F3" s="15">
        <v>4</v>
      </c>
      <c r="G3" s="15">
        <v>2</v>
      </c>
      <c r="H3" s="15">
        <v>8</v>
      </c>
      <c r="I3" s="14" t="s">
        <v>25</v>
      </c>
      <c r="J3" s="14" t="s">
        <v>26</v>
      </c>
      <c r="K3" s="14" t="s">
        <v>19</v>
      </c>
      <c r="L3" s="14" t="s">
        <v>27</v>
      </c>
      <c r="M3" s="16">
        <v>6.6000000000000003E-2</v>
      </c>
    </row>
    <row r="4" spans="1:13" ht="30">
      <c r="A4" s="13">
        <v>3</v>
      </c>
      <c r="B4" s="14" t="s">
        <v>21</v>
      </c>
      <c r="C4" s="14" t="s">
        <v>28</v>
      </c>
      <c r="D4" s="14" t="s">
        <v>29</v>
      </c>
      <c r="E4" s="14" t="s">
        <v>24</v>
      </c>
      <c r="F4" s="15">
        <v>8</v>
      </c>
      <c r="G4" s="15">
        <v>2</v>
      </c>
      <c r="H4" s="15">
        <v>16</v>
      </c>
      <c r="I4" s="14" t="s">
        <v>30</v>
      </c>
      <c r="J4" s="14" t="s">
        <v>26</v>
      </c>
      <c r="K4" s="14" t="s">
        <v>19</v>
      </c>
      <c r="L4" s="14" t="s">
        <v>31</v>
      </c>
      <c r="M4" s="16">
        <v>3.0000000000000001E-3</v>
      </c>
    </row>
    <row r="5" spans="1:13">
      <c r="A5" s="13">
        <v>4</v>
      </c>
      <c r="B5" s="14" t="s">
        <v>21</v>
      </c>
      <c r="C5" s="14" t="s">
        <v>32</v>
      </c>
      <c r="D5" s="14" t="s">
        <v>33</v>
      </c>
      <c r="E5" s="14" t="s">
        <v>24</v>
      </c>
      <c r="F5" s="15">
        <v>1</v>
      </c>
      <c r="G5" s="15">
        <v>2</v>
      </c>
      <c r="H5" s="15">
        <v>2</v>
      </c>
      <c r="I5" s="14" t="s">
        <v>34</v>
      </c>
      <c r="J5" s="14" t="s">
        <v>26</v>
      </c>
      <c r="K5" s="14" t="s">
        <v>19</v>
      </c>
      <c r="L5" s="14" t="s">
        <v>35</v>
      </c>
      <c r="M5" s="16">
        <v>6.0000000000000001E-3</v>
      </c>
    </row>
    <row r="6" spans="1:13">
      <c r="A6" s="13">
        <v>5</v>
      </c>
      <c r="B6" s="14" t="s">
        <v>21</v>
      </c>
      <c r="C6" s="14" t="s">
        <v>36</v>
      </c>
      <c r="D6" s="14" t="s">
        <v>37</v>
      </c>
      <c r="E6" s="14" t="s">
        <v>38</v>
      </c>
      <c r="F6" s="15">
        <v>5</v>
      </c>
      <c r="G6" s="15">
        <v>2</v>
      </c>
      <c r="H6" s="15">
        <v>10</v>
      </c>
      <c r="I6" s="14" t="s">
        <v>39</v>
      </c>
      <c r="J6" s="14" t="s">
        <v>40</v>
      </c>
      <c r="K6" s="14" t="s">
        <v>19</v>
      </c>
      <c r="L6" s="14" t="s">
        <v>41</v>
      </c>
      <c r="M6" s="16">
        <v>5.5E-2</v>
      </c>
    </row>
    <row r="7" spans="1:13">
      <c r="A7" s="13">
        <v>6</v>
      </c>
      <c r="B7" s="14" t="s">
        <v>21</v>
      </c>
      <c r="C7" s="14" t="s">
        <v>42</v>
      </c>
      <c r="D7" s="14" t="s">
        <v>43</v>
      </c>
      <c r="E7" s="14" t="s">
        <v>24</v>
      </c>
      <c r="F7" s="15">
        <v>2</v>
      </c>
      <c r="G7" s="15">
        <v>2</v>
      </c>
      <c r="H7" s="15">
        <v>4</v>
      </c>
      <c r="I7" s="14" t="s">
        <v>44</v>
      </c>
      <c r="J7" s="14" t="s">
        <v>26</v>
      </c>
      <c r="K7" s="14" t="s">
        <v>19</v>
      </c>
      <c r="L7" s="14" t="s">
        <v>45</v>
      </c>
      <c r="M7" s="16">
        <v>7.0000000000000001E-3</v>
      </c>
    </row>
    <row r="8" spans="1:13">
      <c r="A8" s="13">
        <v>7</v>
      </c>
      <c r="B8" s="14" t="s">
        <v>21</v>
      </c>
      <c r="C8" s="14" t="s">
        <v>46</v>
      </c>
      <c r="D8" s="14" t="s">
        <v>23</v>
      </c>
      <c r="E8" s="14" t="s">
        <v>38</v>
      </c>
      <c r="F8" s="15">
        <v>2</v>
      </c>
      <c r="G8" s="15">
        <v>2</v>
      </c>
      <c r="H8" s="15">
        <v>4</v>
      </c>
      <c r="I8" s="14" t="s">
        <v>47</v>
      </c>
      <c r="J8" s="14" t="s">
        <v>40</v>
      </c>
      <c r="K8" s="14" t="s">
        <v>19</v>
      </c>
      <c r="L8" s="14" t="s">
        <v>48</v>
      </c>
      <c r="M8" s="16">
        <v>6.9000000000000006E-2</v>
      </c>
    </row>
    <row r="9" spans="1:13" ht="30">
      <c r="A9" s="13">
        <v>8</v>
      </c>
      <c r="B9" s="14" t="s">
        <v>21</v>
      </c>
      <c r="C9" s="14" t="s">
        <v>49</v>
      </c>
      <c r="D9" s="14" t="s">
        <v>29</v>
      </c>
      <c r="E9" s="14" t="s">
        <v>50</v>
      </c>
      <c r="F9" s="15">
        <v>8</v>
      </c>
      <c r="G9" s="15">
        <v>2</v>
      </c>
      <c r="H9" s="15">
        <v>16</v>
      </c>
      <c r="I9" s="14" t="s">
        <v>51</v>
      </c>
      <c r="J9" s="14" t="s">
        <v>26</v>
      </c>
      <c r="K9" s="14" t="s">
        <v>19</v>
      </c>
      <c r="L9" s="14" t="s">
        <v>52</v>
      </c>
      <c r="M9" s="16">
        <v>2E-3</v>
      </c>
    </row>
    <row r="10" spans="1:13">
      <c r="A10" s="13">
        <v>9</v>
      </c>
      <c r="B10" s="14" t="s">
        <v>21</v>
      </c>
      <c r="C10" s="14" t="s">
        <v>53</v>
      </c>
      <c r="D10" s="14" t="s">
        <v>29</v>
      </c>
      <c r="E10" s="14" t="s">
        <v>24</v>
      </c>
      <c r="F10" s="15">
        <v>2</v>
      </c>
      <c r="G10" s="15">
        <v>2</v>
      </c>
      <c r="H10" s="15">
        <v>4</v>
      </c>
      <c r="I10" s="14" t="s">
        <v>54</v>
      </c>
      <c r="J10" s="14" t="s">
        <v>40</v>
      </c>
      <c r="K10" s="14" t="s">
        <v>19</v>
      </c>
      <c r="L10" s="14" t="s">
        <v>55</v>
      </c>
      <c r="M10" s="16">
        <v>8.0000000000000002E-3</v>
      </c>
    </row>
    <row r="11" spans="1:13">
      <c r="A11" s="13">
        <v>10</v>
      </c>
      <c r="B11" s="14" t="s">
        <v>21</v>
      </c>
      <c r="C11" s="14" t="s">
        <v>56</v>
      </c>
      <c r="D11" s="14" t="s">
        <v>57</v>
      </c>
      <c r="E11" s="14" t="s">
        <v>50</v>
      </c>
      <c r="F11" s="15">
        <v>1</v>
      </c>
      <c r="G11" s="15">
        <v>2</v>
      </c>
      <c r="H11" s="15">
        <v>2</v>
      </c>
      <c r="I11" s="14" t="s">
        <v>58</v>
      </c>
      <c r="J11" s="14" t="s">
        <v>59</v>
      </c>
      <c r="K11" s="14" t="s">
        <v>19</v>
      </c>
      <c r="L11" s="14" t="s">
        <v>60</v>
      </c>
      <c r="M11" s="16">
        <v>5.0000000000000001E-3</v>
      </c>
    </row>
    <row r="12" spans="1:13">
      <c r="A12" s="13">
        <v>11</v>
      </c>
      <c r="B12" s="14" t="s">
        <v>21</v>
      </c>
      <c r="C12" s="14" t="s">
        <v>61</v>
      </c>
      <c r="D12" s="14" t="s">
        <v>33</v>
      </c>
      <c r="E12" s="14" t="s">
        <v>50</v>
      </c>
      <c r="F12" s="15">
        <v>3</v>
      </c>
      <c r="G12" s="15">
        <v>2</v>
      </c>
      <c r="H12" s="15">
        <v>6</v>
      </c>
      <c r="I12" s="14" t="s">
        <v>62</v>
      </c>
      <c r="J12" s="14" t="s">
        <v>26</v>
      </c>
      <c r="K12" s="14" t="s">
        <v>19</v>
      </c>
      <c r="L12" s="14" t="s">
        <v>63</v>
      </c>
      <c r="M12" s="16">
        <v>7.0000000000000001E-3</v>
      </c>
    </row>
    <row r="13" spans="1:13">
      <c r="A13" s="13">
        <v>12</v>
      </c>
      <c r="B13" s="14" t="s">
        <v>21</v>
      </c>
      <c r="C13" s="14" t="s">
        <v>64</v>
      </c>
      <c r="D13" s="14" t="s">
        <v>65</v>
      </c>
      <c r="E13" s="14" t="s">
        <v>50</v>
      </c>
      <c r="F13" s="15">
        <v>2</v>
      </c>
      <c r="G13" s="15">
        <v>2</v>
      </c>
      <c r="H13" s="15">
        <v>4</v>
      </c>
      <c r="I13" s="14" t="s">
        <v>66</v>
      </c>
      <c r="J13" s="14" t="s">
        <v>26</v>
      </c>
      <c r="K13" s="14" t="s">
        <v>19</v>
      </c>
      <c r="L13" s="14" t="s">
        <v>67</v>
      </c>
      <c r="M13" s="16">
        <v>3.0000000000000001E-3</v>
      </c>
    </row>
    <row r="14" spans="1:13">
      <c r="A14" s="13">
        <v>13</v>
      </c>
      <c r="B14" s="14" t="s">
        <v>68</v>
      </c>
      <c r="C14" s="14" t="s">
        <v>69</v>
      </c>
      <c r="D14" s="14" t="s">
        <v>70</v>
      </c>
      <c r="E14" s="14" t="s">
        <v>71</v>
      </c>
      <c r="F14" s="15">
        <v>1</v>
      </c>
      <c r="G14" s="15">
        <v>2</v>
      </c>
      <c r="H14" s="15">
        <v>2</v>
      </c>
      <c r="I14" s="14" t="s">
        <v>72</v>
      </c>
      <c r="J14" s="14" t="s">
        <v>73</v>
      </c>
      <c r="K14" s="14" t="s">
        <v>19</v>
      </c>
      <c r="L14" s="14" t="s">
        <v>74</v>
      </c>
      <c r="M14" s="16">
        <v>0.376</v>
      </c>
    </row>
    <row r="15" spans="1:13">
      <c r="A15" s="13">
        <v>14</v>
      </c>
      <c r="B15" s="14" t="s">
        <v>75</v>
      </c>
      <c r="C15" s="14" t="s">
        <v>76</v>
      </c>
      <c r="D15" s="14" t="s">
        <v>77</v>
      </c>
      <c r="E15" s="14" t="s">
        <v>78</v>
      </c>
      <c r="F15" s="15">
        <v>1</v>
      </c>
      <c r="G15" s="15">
        <v>2</v>
      </c>
      <c r="H15" s="15">
        <v>2</v>
      </c>
      <c r="I15" s="14" t="s">
        <v>79</v>
      </c>
      <c r="J15" s="14" t="s">
        <v>80</v>
      </c>
      <c r="K15" s="14" t="s">
        <v>19</v>
      </c>
      <c r="L15" s="14" t="s">
        <v>81</v>
      </c>
      <c r="M15" s="16">
        <v>1.43E-2</v>
      </c>
    </row>
    <row r="16" spans="1:13">
      <c r="A16" s="13">
        <v>15</v>
      </c>
      <c r="B16" s="14" t="s">
        <v>75</v>
      </c>
      <c r="C16" s="14" t="s">
        <v>83</v>
      </c>
      <c r="D16" s="14" t="s">
        <v>84</v>
      </c>
      <c r="E16" s="14" t="s">
        <v>85</v>
      </c>
      <c r="F16" s="15">
        <v>2</v>
      </c>
      <c r="G16" s="15">
        <v>2</v>
      </c>
      <c r="H16" s="15">
        <v>4</v>
      </c>
      <c r="I16" s="14" t="s">
        <v>84</v>
      </c>
      <c r="J16" s="14" t="s">
        <v>86</v>
      </c>
      <c r="K16" s="14" t="s">
        <v>19</v>
      </c>
      <c r="L16" s="14" t="s">
        <v>87</v>
      </c>
      <c r="M16" s="16">
        <v>9.5000000000000001E-2</v>
      </c>
    </row>
    <row r="17" spans="1:13">
      <c r="A17" s="13">
        <v>16</v>
      </c>
      <c r="B17" s="14" t="s">
        <v>75</v>
      </c>
      <c r="C17" s="14" t="s">
        <v>88</v>
      </c>
      <c r="D17" s="14" t="s">
        <v>89</v>
      </c>
      <c r="E17" s="14" t="s">
        <v>90</v>
      </c>
      <c r="F17" s="15">
        <v>1</v>
      </c>
      <c r="G17" s="15">
        <v>2</v>
      </c>
      <c r="H17" s="15">
        <v>2</v>
      </c>
      <c r="I17" s="14" t="s">
        <v>89</v>
      </c>
      <c r="J17" s="14" t="s">
        <v>91</v>
      </c>
      <c r="K17" s="14" t="s">
        <v>19</v>
      </c>
      <c r="L17" s="14" t="s">
        <v>92</v>
      </c>
      <c r="M17" s="16">
        <v>1.0999999999999999E-2</v>
      </c>
    </row>
    <row r="18" spans="1:13">
      <c r="A18" s="13">
        <v>17</v>
      </c>
      <c r="B18" s="14" t="s">
        <v>93</v>
      </c>
      <c r="C18" s="14" t="s">
        <v>94</v>
      </c>
      <c r="D18" s="14" t="s">
        <v>95</v>
      </c>
      <c r="E18" s="14" t="s">
        <v>96</v>
      </c>
      <c r="F18" s="15">
        <v>1</v>
      </c>
      <c r="G18" s="15">
        <v>2</v>
      </c>
      <c r="H18" s="15">
        <v>2</v>
      </c>
      <c r="I18" s="14" t="s">
        <v>97</v>
      </c>
      <c r="J18" s="14" t="s">
        <v>98</v>
      </c>
      <c r="K18" s="14" t="s">
        <v>19</v>
      </c>
      <c r="L18" s="14" t="s">
        <v>99</v>
      </c>
      <c r="M18" s="16">
        <v>1.8819999999999999</v>
      </c>
    </row>
    <row r="19" spans="1:13">
      <c r="A19" s="13">
        <v>18</v>
      </c>
      <c r="B19" s="14" t="s">
        <v>93</v>
      </c>
      <c r="C19" s="14" t="s">
        <v>100</v>
      </c>
      <c r="D19" s="14" t="s">
        <v>101</v>
      </c>
      <c r="E19" s="14" t="s">
        <v>102</v>
      </c>
      <c r="F19" s="15">
        <v>1</v>
      </c>
      <c r="G19" s="15">
        <v>2</v>
      </c>
      <c r="H19" s="15">
        <v>2</v>
      </c>
      <c r="I19" s="14" t="s">
        <v>101</v>
      </c>
      <c r="J19" s="14" t="s">
        <v>103</v>
      </c>
      <c r="K19" s="14" t="s">
        <v>19</v>
      </c>
      <c r="L19" s="14" t="s">
        <v>104</v>
      </c>
      <c r="M19" s="16">
        <v>0.13</v>
      </c>
    </row>
    <row r="20" spans="1:13">
      <c r="A20" s="13">
        <v>19</v>
      </c>
      <c r="B20" s="14" t="s">
        <v>93</v>
      </c>
      <c r="C20" s="14" t="s">
        <v>106</v>
      </c>
      <c r="D20" s="14" t="s">
        <v>107</v>
      </c>
      <c r="E20" s="14" t="s">
        <v>108</v>
      </c>
      <c r="F20" s="15">
        <v>1</v>
      </c>
      <c r="G20" s="15">
        <v>2</v>
      </c>
      <c r="H20" s="15">
        <v>2</v>
      </c>
      <c r="I20" s="14" t="s">
        <v>109</v>
      </c>
      <c r="J20" s="14" t="s">
        <v>40</v>
      </c>
      <c r="K20" s="14" t="s">
        <v>19</v>
      </c>
      <c r="L20" s="14" t="s">
        <v>110</v>
      </c>
      <c r="M20" s="16">
        <v>0.04</v>
      </c>
    </row>
    <row r="21" spans="1:13">
      <c r="A21" s="13">
        <v>20</v>
      </c>
      <c r="B21" s="14" t="s">
        <v>111</v>
      </c>
      <c r="C21" s="14" t="s">
        <v>112</v>
      </c>
      <c r="D21" s="14" t="s">
        <v>113</v>
      </c>
      <c r="E21" s="14" t="s">
        <v>114</v>
      </c>
      <c r="F21" s="15">
        <v>2</v>
      </c>
      <c r="G21" s="15">
        <v>2</v>
      </c>
      <c r="H21" s="15">
        <v>4</v>
      </c>
      <c r="I21" s="14" t="s">
        <v>115</v>
      </c>
      <c r="J21" s="14" t="s">
        <v>116</v>
      </c>
      <c r="K21" s="14" t="s">
        <v>19</v>
      </c>
      <c r="L21" s="14" t="s">
        <v>117</v>
      </c>
      <c r="M21" s="16">
        <v>1.2999999999999999E-2</v>
      </c>
    </row>
    <row r="22" spans="1:13">
      <c r="A22" s="13">
        <v>21</v>
      </c>
      <c r="B22" s="14" t="s">
        <v>111</v>
      </c>
      <c r="C22" s="14" t="s">
        <v>118</v>
      </c>
      <c r="D22" s="14" t="s">
        <v>119</v>
      </c>
      <c r="E22" s="14" t="s">
        <v>120</v>
      </c>
      <c r="F22" s="15">
        <v>3</v>
      </c>
      <c r="G22" s="15">
        <v>2</v>
      </c>
      <c r="H22" s="15">
        <v>6</v>
      </c>
      <c r="I22" s="14" t="s">
        <v>121</v>
      </c>
      <c r="J22" s="14" t="s">
        <v>122</v>
      </c>
      <c r="K22" s="14" t="s">
        <v>19</v>
      </c>
      <c r="L22" s="14" t="s">
        <v>123</v>
      </c>
      <c r="M22" s="16">
        <v>5.1000000000000004E-3</v>
      </c>
    </row>
    <row r="23" spans="1:13">
      <c r="A23" s="13">
        <v>22</v>
      </c>
      <c r="B23" s="14" t="s">
        <v>68</v>
      </c>
      <c r="C23" s="14" t="s">
        <v>125</v>
      </c>
      <c r="D23" s="14" t="s">
        <v>126</v>
      </c>
      <c r="E23" s="14" t="s">
        <v>127</v>
      </c>
      <c r="F23" s="15">
        <v>2</v>
      </c>
      <c r="G23" s="15">
        <v>2</v>
      </c>
      <c r="H23" s="15">
        <v>4</v>
      </c>
      <c r="I23" s="14" t="s">
        <v>126</v>
      </c>
      <c r="J23" s="14" t="s">
        <v>128</v>
      </c>
      <c r="K23" s="14" t="s">
        <v>19</v>
      </c>
      <c r="L23" s="14" t="s">
        <v>129</v>
      </c>
      <c r="M23" s="16">
        <v>0.152</v>
      </c>
    </row>
    <row r="24" spans="1:13" ht="30">
      <c r="A24" s="13">
        <v>23</v>
      </c>
      <c r="B24" s="14" t="s">
        <v>130</v>
      </c>
      <c r="C24" s="14" t="s">
        <v>131</v>
      </c>
      <c r="D24" s="14" t="s">
        <v>132</v>
      </c>
      <c r="E24" s="14" t="s">
        <v>133</v>
      </c>
      <c r="F24" s="15">
        <v>1</v>
      </c>
      <c r="G24" s="15">
        <v>2</v>
      </c>
      <c r="H24" s="15">
        <v>2</v>
      </c>
      <c r="I24" s="14" t="s">
        <v>134</v>
      </c>
      <c r="J24" s="14" t="s">
        <v>135</v>
      </c>
      <c r="K24" s="14" t="s">
        <v>19</v>
      </c>
      <c r="L24" s="14" t="s">
        <v>136</v>
      </c>
      <c r="M24" s="16">
        <v>1.0999999999999999E-2</v>
      </c>
    </row>
    <row r="25" spans="1:13" ht="30">
      <c r="A25" s="13">
        <v>24</v>
      </c>
      <c r="B25" s="14" t="s">
        <v>130</v>
      </c>
      <c r="C25" s="14" t="s">
        <v>137</v>
      </c>
      <c r="D25" s="14" t="s">
        <v>138</v>
      </c>
      <c r="E25" s="14" t="s">
        <v>139</v>
      </c>
      <c r="F25" s="15">
        <v>1</v>
      </c>
      <c r="G25" s="15">
        <v>2</v>
      </c>
      <c r="H25" s="15">
        <v>2</v>
      </c>
      <c r="I25" s="14" t="s">
        <v>138</v>
      </c>
      <c r="J25" s="14" t="s">
        <v>140</v>
      </c>
      <c r="K25" s="14" t="s">
        <v>19</v>
      </c>
      <c r="L25" s="14" t="s">
        <v>141</v>
      </c>
      <c r="M25" s="16">
        <v>0.83299999999999996</v>
      </c>
    </row>
    <row r="26" spans="1:13">
      <c r="A26" s="13">
        <v>25</v>
      </c>
      <c r="B26" s="14" t="s">
        <v>142</v>
      </c>
      <c r="C26" s="14" t="s">
        <v>143</v>
      </c>
      <c r="D26" s="14" t="s">
        <v>144</v>
      </c>
      <c r="E26" s="14" t="s">
        <v>145</v>
      </c>
      <c r="F26" s="15">
        <v>4</v>
      </c>
      <c r="G26" s="15">
        <v>2</v>
      </c>
      <c r="H26" s="15">
        <v>8</v>
      </c>
      <c r="I26" s="14" t="s">
        <v>146</v>
      </c>
      <c r="J26" s="14" t="s">
        <v>103</v>
      </c>
      <c r="K26" s="14" t="s">
        <v>19</v>
      </c>
      <c r="L26" s="14" t="s">
        <v>147</v>
      </c>
      <c r="M26" s="16">
        <v>1E-3</v>
      </c>
    </row>
    <row r="27" spans="1:13">
      <c r="A27" s="13">
        <v>26</v>
      </c>
      <c r="B27" s="14" t="s">
        <v>142</v>
      </c>
      <c r="C27" s="14" t="s">
        <v>148</v>
      </c>
      <c r="D27" s="14" t="s">
        <v>149</v>
      </c>
      <c r="E27" s="14" t="s">
        <v>150</v>
      </c>
      <c r="F27" s="15">
        <v>1</v>
      </c>
      <c r="G27" s="15">
        <v>2</v>
      </c>
      <c r="H27" s="15">
        <v>2</v>
      </c>
      <c r="I27" s="14" t="s">
        <v>151</v>
      </c>
      <c r="J27" s="14" t="s">
        <v>103</v>
      </c>
      <c r="K27" s="14" t="s">
        <v>19</v>
      </c>
      <c r="L27" s="14" t="s">
        <v>152</v>
      </c>
      <c r="M27" s="16">
        <v>1E-3</v>
      </c>
    </row>
    <row r="28" spans="1:13">
      <c r="A28" s="13">
        <v>27</v>
      </c>
      <c r="B28" s="14" t="s">
        <v>142</v>
      </c>
      <c r="C28" s="14" t="s">
        <v>153</v>
      </c>
      <c r="D28" s="14" t="s">
        <v>154</v>
      </c>
      <c r="E28" s="14" t="s">
        <v>155</v>
      </c>
      <c r="F28" s="15">
        <v>2</v>
      </c>
      <c r="G28" s="15">
        <v>2</v>
      </c>
      <c r="H28" s="15">
        <v>4</v>
      </c>
      <c r="I28" s="14" t="s">
        <v>156</v>
      </c>
      <c r="J28" s="14" t="s">
        <v>157</v>
      </c>
      <c r="K28" s="14" t="s">
        <v>19</v>
      </c>
      <c r="L28" s="14" t="s">
        <v>158</v>
      </c>
      <c r="M28" s="16">
        <v>6.0000000000000001E-3</v>
      </c>
    </row>
    <row r="29" spans="1:13">
      <c r="A29" s="13">
        <v>28</v>
      </c>
      <c r="B29" s="14" t="s">
        <v>142</v>
      </c>
      <c r="C29" s="14" t="s">
        <v>159</v>
      </c>
      <c r="D29" s="14" t="s">
        <v>149</v>
      </c>
      <c r="E29" s="14" t="s">
        <v>145</v>
      </c>
      <c r="F29" s="15">
        <v>4</v>
      </c>
      <c r="G29" s="15">
        <v>2</v>
      </c>
      <c r="H29" s="15">
        <v>8</v>
      </c>
      <c r="I29" s="14" t="s">
        <v>160</v>
      </c>
      <c r="J29" s="14" t="s">
        <v>103</v>
      </c>
      <c r="K29" s="14" t="s">
        <v>19</v>
      </c>
      <c r="L29" s="14" t="s">
        <v>161</v>
      </c>
      <c r="M29" s="16">
        <v>1.7000000000000001E-2</v>
      </c>
    </row>
    <row r="30" spans="1:13">
      <c r="A30" s="13">
        <v>29</v>
      </c>
      <c r="B30" s="14" t="s">
        <v>142</v>
      </c>
      <c r="C30" s="14" t="s">
        <v>162</v>
      </c>
      <c r="D30" s="14" t="s">
        <v>144</v>
      </c>
      <c r="E30" s="14" t="s">
        <v>145</v>
      </c>
      <c r="F30" s="15">
        <v>4</v>
      </c>
      <c r="G30" s="15">
        <v>2</v>
      </c>
      <c r="H30" s="15">
        <v>8</v>
      </c>
      <c r="I30" s="14" t="s">
        <v>163</v>
      </c>
      <c r="J30" s="14" t="s">
        <v>164</v>
      </c>
      <c r="K30" s="14" t="s">
        <v>19</v>
      </c>
      <c r="L30" s="14" t="s">
        <v>165</v>
      </c>
      <c r="M30" s="16">
        <v>1E-3</v>
      </c>
    </row>
    <row r="31" spans="1:13">
      <c r="A31" s="13">
        <v>30</v>
      </c>
      <c r="B31" s="14" t="s">
        <v>142</v>
      </c>
      <c r="C31" s="14" t="s">
        <v>166</v>
      </c>
      <c r="D31" s="14" t="s">
        <v>167</v>
      </c>
      <c r="E31" s="14" t="s">
        <v>155</v>
      </c>
      <c r="F31" s="15">
        <v>2</v>
      </c>
      <c r="G31" s="15">
        <v>2</v>
      </c>
      <c r="H31" s="15">
        <v>4</v>
      </c>
      <c r="I31" s="14" t="s">
        <v>168</v>
      </c>
      <c r="J31" s="14" t="s">
        <v>169</v>
      </c>
      <c r="K31" s="14" t="s">
        <v>19</v>
      </c>
      <c r="L31" s="14" t="s">
        <v>170</v>
      </c>
      <c r="M31" s="16">
        <v>1.7999999999999999E-2</v>
      </c>
    </row>
    <row r="32" spans="1:13">
      <c r="A32" s="13">
        <v>31</v>
      </c>
      <c r="B32" s="14" t="s">
        <v>142</v>
      </c>
      <c r="C32" s="14" t="s">
        <v>171</v>
      </c>
      <c r="D32" s="14" t="s">
        <v>172</v>
      </c>
      <c r="E32" s="14" t="s">
        <v>150</v>
      </c>
      <c r="F32" s="15">
        <v>1</v>
      </c>
      <c r="G32" s="15">
        <v>2</v>
      </c>
      <c r="H32" s="15">
        <v>2</v>
      </c>
      <c r="I32" s="14" t="s">
        <v>173</v>
      </c>
      <c r="J32" s="14" t="s">
        <v>164</v>
      </c>
      <c r="K32" s="14" t="s">
        <v>19</v>
      </c>
      <c r="L32" s="14" t="s">
        <v>174</v>
      </c>
      <c r="M32" s="16">
        <v>2E-3</v>
      </c>
    </row>
    <row r="33" spans="1:13">
      <c r="A33" s="13">
        <v>32</v>
      </c>
      <c r="B33" s="14" t="s">
        <v>142</v>
      </c>
      <c r="C33" s="14" t="s">
        <v>175</v>
      </c>
      <c r="D33" s="14" t="s">
        <v>176</v>
      </c>
      <c r="E33" s="14" t="s">
        <v>150</v>
      </c>
      <c r="F33" s="15">
        <v>3</v>
      </c>
      <c r="G33" s="15">
        <v>2</v>
      </c>
      <c r="H33" s="15">
        <v>6</v>
      </c>
      <c r="I33" s="14" t="s">
        <v>177</v>
      </c>
      <c r="J33" s="14" t="s">
        <v>103</v>
      </c>
      <c r="K33" s="14" t="s">
        <v>19</v>
      </c>
      <c r="L33" s="14" t="s">
        <v>178</v>
      </c>
      <c r="M33" s="16">
        <v>2.1999999999999999E-2</v>
      </c>
    </row>
    <row r="34" spans="1:13">
      <c r="A34" s="13">
        <v>33</v>
      </c>
      <c r="B34" s="14" t="s">
        <v>142</v>
      </c>
      <c r="C34" s="14" t="s">
        <v>179</v>
      </c>
      <c r="D34" s="14" t="s">
        <v>172</v>
      </c>
      <c r="E34" s="14" t="s">
        <v>150</v>
      </c>
      <c r="F34" s="15">
        <v>2</v>
      </c>
      <c r="G34" s="15">
        <v>2</v>
      </c>
      <c r="H34" s="15">
        <v>4</v>
      </c>
      <c r="I34" s="14" t="s">
        <v>180</v>
      </c>
      <c r="J34" s="14" t="s">
        <v>164</v>
      </c>
      <c r="K34" s="14" t="s">
        <v>19</v>
      </c>
      <c r="L34" s="14" t="s">
        <v>181</v>
      </c>
      <c r="M34" s="16">
        <v>8.0000000000000002E-3</v>
      </c>
    </row>
    <row r="35" spans="1:13">
      <c r="A35" s="13">
        <v>34</v>
      </c>
      <c r="B35" s="14" t="s">
        <v>142</v>
      </c>
      <c r="C35" s="14" t="s">
        <v>182</v>
      </c>
      <c r="D35" s="14" t="s">
        <v>183</v>
      </c>
      <c r="E35" s="14" t="s">
        <v>150</v>
      </c>
      <c r="F35" s="15">
        <v>2</v>
      </c>
      <c r="G35" s="15">
        <v>2</v>
      </c>
      <c r="H35" s="15">
        <v>4</v>
      </c>
      <c r="I35" s="14" t="s">
        <v>184</v>
      </c>
      <c r="J35" s="14" t="s">
        <v>164</v>
      </c>
      <c r="K35" s="14" t="s">
        <v>19</v>
      </c>
      <c r="L35" s="14" t="s">
        <v>185</v>
      </c>
      <c r="M35" s="16">
        <v>2E-3</v>
      </c>
    </row>
    <row r="36" spans="1:13">
      <c r="A36" s="13">
        <v>35</v>
      </c>
      <c r="B36" s="14" t="s">
        <v>186</v>
      </c>
      <c r="C36" s="14" t="s">
        <v>187</v>
      </c>
      <c r="D36" s="14" t="s">
        <v>188</v>
      </c>
      <c r="E36" s="14" t="s">
        <v>189</v>
      </c>
      <c r="F36" s="15">
        <v>1</v>
      </c>
      <c r="G36" s="15">
        <v>2</v>
      </c>
      <c r="H36" s="15">
        <v>2</v>
      </c>
      <c r="I36" s="14" t="s">
        <v>188</v>
      </c>
      <c r="J36" s="14" t="s">
        <v>190</v>
      </c>
      <c r="K36" s="14" t="s">
        <v>19</v>
      </c>
      <c r="L36" s="14" t="s">
        <v>191</v>
      </c>
      <c r="M36" s="16">
        <v>0.64500000000000002</v>
      </c>
    </row>
    <row r="37" spans="1:13" ht="30">
      <c r="A37" s="13">
        <v>36</v>
      </c>
      <c r="B37" s="14" t="s">
        <v>192</v>
      </c>
      <c r="C37" s="14" t="s">
        <v>193</v>
      </c>
      <c r="D37" s="14" t="s">
        <v>194</v>
      </c>
      <c r="E37" s="14" t="s">
        <v>195</v>
      </c>
      <c r="F37" s="15">
        <v>2</v>
      </c>
      <c r="G37" s="15">
        <v>2</v>
      </c>
      <c r="H37" s="15">
        <v>4</v>
      </c>
      <c r="I37" s="14" t="s">
        <v>196</v>
      </c>
      <c r="J37" s="14" t="s">
        <v>197</v>
      </c>
      <c r="K37" s="14" t="s">
        <v>19</v>
      </c>
      <c r="L37" s="14" t="s">
        <v>198</v>
      </c>
      <c r="M37" s="16">
        <v>0.10199999999999999</v>
      </c>
    </row>
    <row r="38" spans="1:13">
      <c r="A38" s="13">
        <v>37</v>
      </c>
      <c r="B38" s="14" t="s">
        <v>199</v>
      </c>
      <c r="C38" s="14" t="s">
        <v>200</v>
      </c>
      <c r="D38" s="14" t="s">
        <v>201</v>
      </c>
      <c r="E38" s="14" t="s">
        <v>202</v>
      </c>
      <c r="F38" s="15">
        <v>1</v>
      </c>
      <c r="G38" s="15">
        <v>2</v>
      </c>
      <c r="H38" s="15">
        <v>2</v>
      </c>
      <c r="I38" s="14" t="s">
        <v>201</v>
      </c>
      <c r="J38" s="14" t="s">
        <v>203</v>
      </c>
      <c r="K38" s="14" t="s">
        <v>19</v>
      </c>
      <c r="L38" s="14" t="s">
        <v>204</v>
      </c>
      <c r="M38" s="16">
        <v>0.17599999999999999</v>
      </c>
    </row>
    <row r="39" spans="1:13" ht="30">
      <c r="A39" s="13">
        <v>38</v>
      </c>
      <c r="B39" s="14" t="s">
        <v>199</v>
      </c>
      <c r="C39" s="14" t="s">
        <v>205</v>
      </c>
      <c r="D39" s="14" t="s">
        <v>206</v>
      </c>
      <c r="E39" s="14" t="s">
        <v>207</v>
      </c>
      <c r="F39" s="15">
        <v>1</v>
      </c>
      <c r="G39" s="15">
        <v>2</v>
      </c>
      <c r="H39" s="15">
        <v>2</v>
      </c>
      <c r="I39" s="14" t="s">
        <v>206</v>
      </c>
      <c r="J39" s="14" t="s">
        <v>208</v>
      </c>
      <c r="K39" s="14" t="s">
        <v>19</v>
      </c>
      <c r="L39" s="14" t="s">
        <v>209</v>
      </c>
      <c r="M39" s="16">
        <v>5.4829999999999997</v>
      </c>
    </row>
    <row r="40" spans="1:13">
      <c r="A40" s="13">
        <v>39</v>
      </c>
      <c r="B40" s="14" t="s">
        <v>199</v>
      </c>
      <c r="C40" s="14" t="s">
        <v>210</v>
      </c>
      <c r="D40" s="14" t="s">
        <v>211</v>
      </c>
      <c r="E40" s="14" t="s">
        <v>212</v>
      </c>
      <c r="F40" s="15">
        <v>1</v>
      </c>
      <c r="G40" s="15">
        <v>2</v>
      </c>
      <c r="H40" s="15">
        <v>2</v>
      </c>
      <c r="I40" s="14" t="s">
        <v>211</v>
      </c>
      <c r="J40" s="14" t="s">
        <v>208</v>
      </c>
      <c r="K40" s="14" t="s">
        <v>19</v>
      </c>
      <c r="L40" s="14" t="s">
        <v>213</v>
      </c>
      <c r="M40" s="16">
        <v>0.29799999999999999</v>
      </c>
    </row>
    <row r="41" spans="1:13">
      <c r="A41" s="13">
        <v>40</v>
      </c>
      <c r="B41" s="14" t="s">
        <v>199</v>
      </c>
      <c r="C41" s="14" t="s">
        <v>214</v>
      </c>
      <c r="D41" s="14" t="s">
        <v>215</v>
      </c>
      <c r="E41" s="14" t="s">
        <v>216</v>
      </c>
      <c r="F41" s="15">
        <v>1</v>
      </c>
      <c r="G41" s="15">
        <v>2</v>
      </c>
      <c r="H41" s="15">
        <v>2</v>
      </c>
      <c r="I41" s="14" t="s">
        <v>217</v>
      </c>
      <c r="J41" s="14" t="s">
        <v>218</v>
      </c>
      <c r="K41" s="14" t="s">
        <v>19</v>
      </c>
      <c r="L41" s="14" t="s">
        <v>219</v>
      </c>
      <c r="M41" s="16">
        <v>2.7921</v>
      </c>
    </row>
    <row r="42" spans="1:13">
      <c r="A42" s="13">
        <v>41</v>
      </c>
      <c r="B42" s="14" t="s">
        <v>199</v>
      </c>
      <c r="C42" s="14" t="s">
        <v>221</v>
      </c>
      <c r="D42" s="14" t="s">
        <v>222</v>
      </c>
      <c r="E42" s="14" t="s">
        <v>223</v>
      </c>
      <c r="F42" s="15">
        <v>1</v>
      </c>
      <c r="G42" s="15">
        <v>2</v>
      </c>
      <c r="H42" s="15">
        <v>2</v>
      </c>
      <c r="I42" s="14" t="s">
        <v>222</v>
      </c>
      <c r="J42" s="14" t="s">
        <v>224</v>
      </c>
      <c r="K42" s="14" t="s">
        <v>19</v>
      </c>
      <c r="L42" s="14" t="s">
        <v>225</v>
      </c>
      <c r="M42" s="16">
        <v>4.3959999999999999</v>
      </c>
    </row>
    <row r="43" spans="1:13">
      <c r="A43" s="13">
        <v>42</v>
      </c>
      <c r="B43" s="14" t="s">
        <v>199</v>
      </c>
      <c r="C43" s="14" t="s">
        <v>226</v>
      </c>
      <c r="D43" s="14" t="s">
        <v>227</v>
      </c>
      <c r="E43" s="14" t="s">
        <v>228</v>
      </c>
      <c r="F43" s="15">
        <v>1</v>
      </c>
      <c r="G43" s="15">
        <v>2</v>
      </c>
      <c r="H43" s="15">
        <v>2</v>
      </c>
      <c r="I43" s="14" t="s">
        <v>227</v>
      </c>
      <c r="J43" s="14" t="s">
        <v>229</v>
      </c>
      <c r="K43" s="14" t="s">
        <v>19</v>
      </c>
      <c r="L43" s="14" t="s">
        <v>230</v>
      </c>
      <c r="M43" s="16">
        <v>0.81940000000000002</v>
      </c>
    </row>
    <row r="44" spans="1:13">
      <c r="A44" s="13">
        <v>43</v>
      </c>
      <c r="B44" s="14" t="s">
        <v>199</v>
      </c>
      <c r="C44" s="14" t="s">
        <v>232</v>
      </c>
      <c r="D44" s="14" t="s">
        <v>233</v>
      </c>
      <c r="E44" s="14" t="s">
        <v>234</v>
      </c>
      <c r="F44" s="15">
        <v>1</v>
      </c>
      <c r="G44" s="15">
        <v>2</v>
      </c>
      <c r="H44" s="15">
        <v>2</v>
      </c>
      <c r="I44" s="14" t="s">
        <v>233</v>
      </c>
      <c r="J44" s="14" t="s">
        <v>235</v>
      </c>
      <c r="K44" s="14" t="s">
        <v>19</v>
      </c>
      <c r="L44" s="14" t="s">
        <v>236</v>
      </c>
      <c r="M44" s="16">
        <v>7.91</v>
      </c>
    </row>
    <row r="45" spans="1:13">
      <c r="A45" s="13">
        <v>44</v>
      </c>
      <c r="B45" s="14" t="s">
        <v>199</v>
      </c>
      <c r="C45" s="14" t="s">
        <v>237</v>
      </c>
      <c r="D45" s="14" t="s">
        <v>238</v>
      </c>
      <c r="E45" s="14" t="s">
        <v>239</v>
      </c>
      <c r="F45" s="15">
        <v>1</v>
      </c>
      <c r="G45" s="15">
        <v>2</v>
      </c>
      <c r="H45" s="15">
        <v>2</v>
      </c>
      <c r="I45" s="14" t="s">
        <v>238</v>
      </c>
      <c r="J45" s="14" t="s">
        <v>240</v>
      </c>
      <c r="K45" s="14" t="s">
        <v>19</v>
      </c>
      <c r="L45" s="14" t="s">
        <v>241</v>
      </c>
      <c r="M45" s="16">
        <v>1.5696000000000001</v>
      </c>
    </row>
    <row r="46" spans="1:13" ht="30">
      <c r="A46" s="13">
        <v>45</v>
      </c>
      <c r="B46" s="14" t="s">
        <v>199</v>
      </c>
      <c r="C46" s="14" t="s">
        <v>243</v>
      </c>
      <c r="D46" s="14" t="s">
        <v>244</v>
      </c>
      <c r="E46" s="14" t="s">
        <v>245</v>
      </c>
      <c r="F46" s="15">
        <v>1</v>
      </c>
      <c r="G46" s="15">
        <v>2</v>
      </c>
      <c r="H46" s="15">
        <v>2</v>
      </c>
      <c r="I46" s="14" t="s">
        <v>244</v>
      </c>
      <c r="J46" s="14" t="s">
        <v>246</v>
      </c>
      <c r="K46" s="14" t="s">
        <v>19</v>
      </c>
      <c r="L46" s="14" t="s">
        <v>247</v>
      </c>
      <c r="M46" s="16">
        <v>38.350999999999999</v>
      </c>
    </row>
    <row r="47" spans="1:13">
      <c r="A47" s="13">
        <v>46</v>
      </c>
      <c r="B47" s="14" t="s">
        <v>199</v>
      </c>
      <c r="C47" s="14" t="s">
        <v>248</v>
      </c>
      <c r="D47" s="14" t="s">
        <v>249</v>
      </c>
      <c r="E47" s="14" t="s">
        <v>250</v>
      </c>
      <c r="F47" s="15">
        <v>1</v>
      </c>
      <c r="G47" s="15">
        <v>2</v>
      </c>
      <c r="H47" s="15">
        <v>2</v>
      </c>
      <c r="I47" s="14" t="s">
        <v>249</v>
      </c>
      <c r="J47" s="14" t="s">
        <v>251</v>
      </c>
      <c r="K47" s="14" t="s">
        <v>19</v>
      </c>
      <c r="L47" s="14" t="s">
        <v>252</v>
      </c>
      <c r="M47" s="16">
        <v>12.022</v>
      </c>
    </row>
    <row r="48" spans="1:13" ht="30">
      <c r="A48" s="13">
        <v>47</v>
      </c>
      <c r="B48" s="14" t="s">
        <v>68</v>
      </c>
      <c r="C48" s="14" t="s">
        <v>253</v>
      </c>
      <c r="D48" s="14" t="s">
        <v>254</v>
      </c>
      <c r="E48" s="14" t="s">
        <v>255</v>
      </c>
      <c r="F48" s="15">
        <v>1</v>
      </c>
      <c r="G48" s="15">
        <v>2</v>
      </c>
      <c r="H48" s="15">
        <v>2</v>
      </c>
      <c r="I48" s="14" t="s">
        <v>254</v>
      </c>
      <c r="J48" s="14" t="s">
        <v>256</v>
      </c>
      <c r="K48" s="14" t="s">
        <v>19</v>
      </c>
      <c r="L48" s="14" t="s">
        <v>257</v>
      </c>
      <c r="M48" s="16">
        <v>0.13900000000000001</v>
      </c>
    </row>
    <row r="49" spans="1:13">
      <c r="A49" s="13">
        <v>48</v>
      </c>
      <c r="B49" s="14" t="s">
        <v>258</v>
      </c>
      <c r="C49" s="14" t="s">
        <v>259</v>
      </c>
      <c r="D49" s="14" t="s">
        <v>260</v>
      </c>
      <c r="E49" s="14" t="s">
        <v>261</v>
      </c>
      <c r="F49" s="15">
        <v>1</v>
      </c>
      <c r="G49" s="15">
        <v>2</v>
      </c>
      <c r="H49" s="15">
        <v>2</v>
      </c>
      <c r="I49" s="14" t="s">
        <v>262</v>
      </c>
      <c r="J49" s="14" t="s">
        <v>263</v>
      </c>
      <c r="K49" s="14" t="s">
        <v>19</v>
      </c>
      <c r="L49" s="14" t="s">
        <v>264</v>
      </c>
      <c r="M49" s="16">
        <v>0.245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4.25"/>
  <cols>
    <col min="1" max="2" width="28" customWidth="1"/>
  </cols>
  <sheetData>
    <row r="1" spans="1:4" ht="20.25">
      <c r="A1" s="9" t="s">
        <v>265</v>
      </c>
      <c r="B1" s="10"/>
    </row>
    <row r="2" spans="1:4" ht="15">
      <c r="A2" s="4" t="s">
        <v>266</v>
      </c>
      <c r="B2" s="5" t="s">
        <v>267</v>
      </c>
    </row>
    <row r="3" spans="1:4" ht="15">
      <c r="A3" s="4" t="s">
        <v>268</v>
      </c>
      <c r="B3" s="5">
        <v>2</v>
      </c>
    </row>
    <row r="4" spans="1:4" ht="15">
      <c r="A4" s="4" t="s">
        <v>269</v>
      </c>
      <c r="B4" s="5">
        <f>COUNTA('Manufacturing BOM'!A2:A49)</f>
        <v>48</v>
      </c>
    </row>
    <row r="5" spans="1:4" ht="15">
      <c r="A5" s="4" t="s">
        <v>270</v>
      </c>
      <c r="B5" s="6">
        <f>SUM('Manufacturing BOM'!H2:H49)</f>
        <v>192</v>
      </c>
    </row>
    <row r="6" spans="1:4" ht="15">
      <c r="A6" s="4" t="s">
        <v>271</v>
      </c>
      <c r="B6" s="6" t="e">
        <f>SUM('Manufacturing BOM'!#REF!)</f>
        <v>#REF!</v>
      </c>
    </row>
    <row r="7" spans="1:4" ht="15">
      <c r="A7" s="4" t="s">
        <v>272</v>
      </c>
      <c r="B7" s="5" t="e">
        <f>COUNTIF('Manufacturing BOM'!#REF!,"Extended Part")</f>
        <v>#REF!</v>
      </c>
    </row>
    <row r="8" spans="1:4" ht="15">
      <c r="A8" s="4" t="s">
        <v>273</v>
      </c>
      <c r="B8" s="5" t="e">
        <f>COUNTIF('Manufacturing BOM'!#REF!,"Basic Part")</f>
        <v>#REF!</v>
      </c>
    </row>
    <row r="9" spans="1:4" ht="15">
      <c r="A9" s="4" t="s">
        <v>274</v>
      </c>
      <c r="B9" s="5" t="e">
        <f>COUNTIF('Manufacturing BOM'!#REF!,"Shortage")+COUNTIF('Manufacturing BOM'!#REF!,"Verify")</f>
        <v>#REF!</v>
      </c>
    </row>
    <row r="11" spans="1:4" ht="15">
      <c r="A11" s="2" t="s">
        <v>1</v>
      </c>
      <c r="B11" s="2" t="s">
        <v>275</v>
      </c>
      <c r="C11" s="2" t="s">
        <v>7</v>
      </c>
      <c r="D11" s="2" t="s">
        <v>276</v>
      </c>
    </row>
    <row r="12" spans="1:4">
      <c r="A12" s="3" t="s">
        <v>13</v>
      </c>
      <c r="B12" s="3">
        <f>COUNTIF('Manufacturing BOM'!B2:B49,A12)</f>
        <v>1</v>
      </c>
      <c r="C12" s="3">
        <f>SUMIF('Manufacturing BOM'!B2:B49,A12,'Manufacturing BOM'!H2:H49)</f>
        <v>2</v>
      </c>
      <c r="D12" s="7" t="e">
        <f>SUMIF('Manufacturing BOM'!B2:B49,A12,'Manufacturing BOM'!#REF!)</f>
        <v>#REF!</v>
      </c>
    </row>
    <row r="13" spans="1:4">
      <c r="A13" s="3" t="s">
        <v>21</v>
      </c>
      <c r="B13" s="3">
        <f>COUNTIF('Manufacturing BOM'!B2:B49,A13)</f>
        <v>11</v>
      </c>
      <c r="C13" s="3">
        <f>SUMIF('Manufacturing BOM'!B2:B49,A13,'Manufacturing BOM'!H2:H49)</f>
        <v>76</v>
      </c>
      <c r="D13" s="7" t="e">
        <f>SUMIF('Manufacturing BOM'!B2:B49,A13,'Manufacturing BOM'!#REF!)</f>
        <v>#REF!</v>
      </c>
    </row>
    <row r="14" spans="1:4">
      <c r="A14" s="3" t="s">
        <v>68</v>
      </c>
      <c r="B14" s="3">
        <f>COUNTIF('Manufacturing BOM'!B2:B49,A14)</f>
        <v>3</v>
      </c>
      <c r="C14" s="3">
        <f>SUMIF('Manufacturing BOM'!B2:B49,A14,'Manufacturing BOM'!H2:H49)</f>
        <v>8</v>
      </c>
      <c r="D14" s="7" t="e">
        <f>SUMIF('Manufacturing BOM'!B2:B49,A14,'Manufacturing BOM'!#REF!)</f>
        <v>#REF!</v>
      </c>
    </row>
    <row r="15" spans="1:4">
      <c r="A15" s="3" t="s">
        <v>258</v>
      </c>
      <c r="B15" s="3">
        <f>COUNTIF('Manufacturing BOM'!B2:B49,A15)</f>
        <v>1</v>
      </c>
      <c r="C15" s="3">
        <f>SUMIF('Manufacturing BOM'!B2:B49,A15,'Manufacturing BOM'!H2:H49)</f>
        <v>2</v>
      </c>
      <c r="D15" s="7" t="e">
        <f>SUMIF('Manufacturing BOM'!B2:B49,A15,'Manufacturing BOM'!#REF!)</f>
        <v>#REF!</v>
      </c>
    </row>
    <row r="16" spans="1:4">
      <c r="A16" s="3" t="s">
        <v>75</v>
      </c>
      <c r="B16" s="3">
        <f>COUNTIF('Manufacturing BOM'!B2:B49,A16)</f>
        <v>3</v>
      </c>
      <c r="C16" s="3">
        <f>SUMIF('Manufacturing BOM'!B2:B49,A16,'Manufacturing BOM'!H2:H49)</f>
        <v>8</v>
      </c>
      <c r="D16" s="7" t="e">
        <f>SUMIF('Manufacturing BOM'!B2:B49,A16,'Manufacturing BOM'!#REF!)</f>
        <v>#REF!</v>
      </c>
    </row>
    <row r="17" spans="1:4">
      <c r="A17" s="3" t="s">
        <v>199</v>
      </c>
      <c r="B17" s="3">
        <f>COUNTIF('Manufacturing BOM'!B2:B49,A17)</f>
        <v>10</v>
      </c>
      <c r="C17" s="3">
        <f>SUMIF('Manufacturing BOM'!B2:B49,A17,'Manufacturing BOM'!H2:H49)</f>
        <v>20</v>
      </c>
      <c r="D17" s="7" t="e">
        <f>SUMIF('Manufacturing BOM'!B2:B49,A17,'Manufacturing BOM'!#REF!)</f>
        <v>#REF!</v>
      </c>
    </row>
    <row r="18" spans="1:4">
      <c r="A18" s="3" t="s">
        <v>93</v>
      </c>
      <c r="B18" s="3">
        <f>COUNTIF('Manufacturing BOM'!B2:B49,A18)</f>
        <v>3</v>
      </c>
      <c r="C18" s="3">
        <f>SUMIF('Manufacturing BOM'!B2:B49,A18,'Manufacturing BOM'!H2:H49)</f>
        <v>6</v>
      </c>
      <c r="D18" s="7" t="e">
        <f>SUMIF('Manufacturing BOM'!B2:B49,A18,'Manufacturing BOM'!#REF!)</f>
        <v>#REF!</v>
      </c>
    </row>
    <row r="19" spans="1:4">
      <c r="A19" s="3" t="s">
        <v>111</v>
      </c>
      <c r="B19" s="3">
        <f>COUNTIF('Manufacturing BOM'!B2:B49,A19)</f>
        <v>2</v>
      </c>
      <c r="C19" s="3">
        <f>SUMIF('Manufacturing BOM'!B2:B49,A19,'Manufacturing BOM'!H2:H49)</f>
        <v>10</v>
      </c>
      <c r="D19" s="7" t="e">
        <f>SUMIF('Manufacturing BOM'!B2:B49,A19,'Manufacturing BOM'!#REF!)</f>
        <v>#REF!</v>
      </c>
    </row>
    <row r="20" spans="1:4">
      <c r="A20" s="3" t="s">
        <v>186</v>
      </c>
      <c r="B20" s="3">
        <f>COUNTIF('Manufacturing BOM'!B2:B49,A20)</f>
        <v>1</v>
      </c>
      <c r="C20" s="3">
        <f>SUMIF('Manufacturing BOM'!B2:B49,A20,'Manufacturing BOM'!H2:H49)</f>
        <v>2</v>
      </c>
      <c r="D20" s="7" t="e">
        <f>SUMIF('Manufacturing BOM'!B2:B49,A20,'Manufacturing BOM'!#REF!)</f>
        <v>#REF!</v>
      </c>
    </row>
    <row r="21" spans="1:4">
      <c r="A21" s="3" t="s">
        <v>142</v>
      </c>
      <c r="B21" s="3">
        <f>COUNTIF('Manufacturing BOM'!B2:B49,A21)</f>
        <v>10</v>
      </c>
      <c r="C21" s="3">
        <f>SUMIF('Manufacturing BOM'!B2:B49,A21,'Manufacturing BOM'!H2:H49)</f>
        <v>50</v>
      </c>
      <c r="D21" s="7" t="e">
        <f>SUMIF('Manufacturing BOM'!B2:B49,A21,'Manufacturing BOM'!#REF!)</f>
        <v>#REF!</v>
      </c>
    </row>
    <row r="22" spans="1:4">
      <c r="A22" s="3" t="s">
        <v>192</v>
      </c>
      <c r="B22" s="3">
        <f>COUNTIF('Manufacturing BOM'!B2:B49,A22)</f>
        <v>1</v>
      </c>
      <c r="C22" s="3">
        <f>SUMIF('Manufacturing BOM'!B2:B49,A22,'Manufacturing BOM'!H2:H49)</f>
        <v>4</v>
      </c>
      <c r="D22" s="7" t="e">
        <f>SUMIF('Manufacturing BOM'!B2:B49,A22,'Manufacturing BOM'!#REF!)</f>
        <v>#REF!</v>
      </c>
    </row>
    <row r="23" spans="1:4">
      <c r="A23" s="3" t="s">
        <v>130</v>
      </c>
      <c r="B23" s="3">
        <f>COUNTIF('Manufacturing BOM'!B2:B49,A23)</f>
        <v>2</v>
      </c>
      <c r="C23" s="3">
        <f>SUMIF('Manufacturing BOM'!B2:B49,A23,'Manufacturing BOM'!H2:H49)</f>
        <v>4</v>
      </c>
      <c r="D23" s="7" t="e">
        <f>SUMIF('Manufacturing BOM'!B2:B49,A23,'Manufacturing BOM'!#REF!)</f>
        <v>#REF!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4.25"/>
  <cols>
    <col min="1" max="1" width="18" customWidth="1"/>
    <col min="2" max="2" width="24" customWidth="1"/>
    <col min="3" max="3" width="28" customWidth="1"/>
    <col min="4" max="5" width="14" customWidth="1"/>
    <col min="6" max="6" width="60" customWidth="1"/>
  </cols>
  <sheetData>
    <row r="1" spans="1:6" ht="15">
      <c r="A1" s="8" t="s">
        <v>2</v>
      </c>
      <c r="B1" s="8" t="s">
        <v>277</v>
      </c>
      <c r="C1" s="8" t="s">
        <v>278</v>
      </c>
      <c r="D1" s="8" t="s">
        <v>279</v>
      </c>
      <c r="E1" s="8" t="s">
        <v>280</v>
      </c>
      <c r="F1" s="8" t="s">
        <v>281</v>
      </c>
    </row>
    <row r="2" spans="1:6">
      <c r="A2" s="3" t="s">
        <v>76</v>
      </c>
      <c r="B2" s="3" t="s">
        <v>282</v>
      </c>
      <c r="C2" s="3" t="s">
        <v>79</v>
      </c>
      <c r="D2" s="3" t="s">
        <v>283</v>
      </c>
      <c r="E2" s="3" t="s">
        <v>81</v>
      </c>
      <c r="F2" s="3" t="s">
        <v>82</v>
      </c>
    </row>
    <row r="3" spans="1:6" ht="28.5">
      <c r="A3" s="3" t="s">
        <v>100</v>
      </c>
      <c r="B3" s="3" t="s">
        <v>101</v>
      </c>
      <c r="C3" s="3" t="s">
        <v>101</v>
      </c>
      <c r="D3" s="3" t="s">
        <v>104</v>
      </c>
      <c r="E3" s="3" t="s">
        <v>104</v>
      </c>
      <c r="F3" s="3" t="s">
        <v>105</v>
      </c>
    </row>
    <row r="4" spans="1:6">
      <c r="A4" s="3" t="s">
        <v>118</v>
      </c>
      <c r="B4" s="3" t="s">
        <v>284</v>
      </c>
      <c r="C4" s="3" t="s">
        <v>121</v>
      </c>
      <c r="D4" s="3" t="s">
        <v>285</v>
      </c>
      <c r="E4" s="3" t="s">
        <v>123</v>
      </c>
      <c r="F4" s="3" t="s">
        <v>124</v>
      </c>
    </row>
    <row r="5" spans="1:6" ht="28.5">
      <c r="A5" s="3" t="s">
        <v>214</v>
      </c>
      <c r="B5" s="3" t="s">
        <v>215</v>
      </c>
      <c r="C5" s="3" t="s">
        <v>217</v>
      </c>
      <c r="D5" s="3" t="s">
        <v>286</v>
      </c>
      <c r="E5" s="3" t="s">
        <v>219</v>
      </c>
      <c r="F5" s="3" t="s">
        <v>220</v>
      </c>
    </row>
    <row r="6" spans="1:6">
      <c r="A6" s="3" t="s">
        <v>226</v>
      </c>
      <c r="B6" s="3" t="s">
        <v>227</v>
      </c>
      <c r="C6" s="3" t="s">
        <v>227</v>
      </c>
      <c r="D6" s="3" t="s">
        <v>287</v>
      </c>
      <c r="E6" s="3" t="s">
        <v>230</v>
      </c>
      <c r="F6" s="3" t="s">
        <v>231</v>
      </c>
    </row>
    <row r="7" spans="1:6">
      <c r="A7" s="3" t="s">
        <v>237</v>
      </c>
      <c r="B7" s="3" t="s">
        <v>238</v>
      </c>
      <c r="C7" s="3" t="s">
        <v>238</v>
      </c>
      <c r="D7" s="3" t="s">
        <v>288</v>
      </c>
      <c r="E7" s="3" t="s">
        <v>241</v>
      </c>
      <c r="F7" s="3" t="s">
        <v>242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25"/>
  <cols>
    <col min="1" max="1" width="22" customWidth="1"/>
    <col min="2" max="2" width="90" customWidth="1"/>
  </cols>
  <sheetData>
    <row r="1" spans="1:2" ht="15">
      <c r="A1" s="1" t="s">
        <v>289</v>
      </c>
      <c r="B1" s="1" t="s">
        <v>290</v>
      </c>
    </row>
    <row r="2" spans="1:2">
      <c r="A2" s="3" t="s">
        <v>291</v>
      </c>
      <c r="B2" s="3" t="s">
        <v>292</v>
      </c>
    </row>
    <row r="3" spans="1:2" ht="28.5">
      <c r="A3" s="3" t="s">
        <v>293</v>
      </c>
      <c r="B3" s="3" t="s">
        <v>294</v>
      </c>
    </row>
    <row r="4" spans="1:2">
      <c r="A4" s="3" t="s">
        <v>295</v>
      </c>
      <c r="B4" s="3" t="s">
        <v>296</v>
      </c>
    </row>
    <row r="5" spans="1:2" ht="28.5">
      <c r="A5" s="3" t="s">
        <v>297</v>
      </c>
      <c r="B5" s="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Manufacturing BOM</vt:lpstr>
      <vt:lpstr>Summary</vt:lpstr>
      <vt:lpstr>Change Log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Kiyarash Shahriarikesheh</cp:lastModifiedBy>
  <dcterms:modified xsi:type="dcterms:W3CDTF">2026-05-14T02:41:44Z</dcterms:modified>
</cp:coreProperties>
</file>